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D243B8F-EE67-4AAA-BE9F-A0E70A3DB01B}" xr6:coauthVersionLast="36" xr6:coauthVersionMax="36" xr10:uidLastSave="{00000000-0000-0000-0000-000000000000}"/>
  <bookViews>
    <workbookView xWindow="0" yWindow="0" windowWidth="23040" windowHeight="9060" xr2:uid="{6BB011B7-0EA7-4654-810E-41C532E90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L5" i="1"/>
  <c r="L7" i="1"/>
  <c r="L8" i="1"/>
  <c r="L9" i="1"/>
  <c r="L10" i="1"/>
  <c r="J5" i="1" l="1"/>
  <c r="K5" i="1"/>
  <c r="K6" i="1"/>
  <c r="K7" i="1"/>
  <c r="K8" i="1"/>
  <c r="K9" i="1"/>
  <c r="K10" i="1"/>
  <c r="J6" i="1"/>
  <c r="J7" i="1"/>
  <c r="J8" i="1"/>
  <c r="J9" i="1"/>
  <c r="J10" i="1"/>
  <c r="M6" i="1"/>
  <c r="M7" i="1"/>
  <c r="M8" i="1"/>
  <c r="M9" i="1"/>
  <c r="M10" i="1"/>
  <c r="I7" i="1"/>
  <c r="I8" i="1"/>
  <c r="G7" i="1"/>
  <c r="H7" i="1" s="1"/>
  <c r="G8" i="1"/>
  <c r="G9" i="1"/>
  <c r="H9" i="1" s="1"/>
  <c r="G10" i="1"/>
  <c r="H10" i="1" s="1"/>
  <c r="G6" i="1"/>
  <c r="H6" i="1" s="1"/>
  <c r="G5" i="1"/>
  <c r="H5" i="1" s="1"/>
  <c r="M5" i="1" l="1"/>
  <c r="I10" i="1"/>
  <c r="I6" i="1"/>
  <c r="I9" i="1"/>
  <c r="I5" i="1"/>
  <c r="H8" i="1"/>
</calcChain>
</file>

<file path=xl/sharedStrings.xml><?xml version="1.0" encoding="utf-8"?>
<sst xmlns="http://schemas.openxmlformats.org/spreadsheetml/2006/main" count="17" uniqueCount="17">
  <si>
    <t>Roll No</t>
  </si>
  <si>
    <t>Student Name</t>
  </si>
  <si>
    <t>Omkar Bhagude</t>
  </si>
  <si>
    <t xml:space="preserve">Sidhant Chikate </t>
  </si>
  <si>
    <t>Mansi Kale</t>
  </si>
  <si>
    <t>Aditya Birajdar</t>
  </si>
  <si>
    <t>Rohit Sharma</t>
  </si>
  <si>
    <t>Messut Ozil</t>
  </si>
  <si>
    <t xml:space="preserve">Marathi </t>
  </si>
  <si>
    <t>English</t>
  </si>
  <si>
    <t>Total</t>
  </si>
  <si>
    <t>Remark</t>
  </si>
  <si>
    <t>IFS</t>
  </si>
  <si>
    <t>AND</t>
  </si>
  <si>
    <t>OR</t>
  </si>
  <si>
    <t>NOT</t>
  </si>
  <si>
    <t>IF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</si>
</sst>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811D6F-6EC8-49B5-B151-ADCC13E31586}" name="Table1" displayName="Table1" ref="C4:M10" totalsRowShown="0">
  <autoFilter ref="C4:M10" xr:uid="{7A04F2CB-2C57-4060-A28B-5AAB297B7C4D}"/>
  <tableColumns count="11">
    <tableColumn id="1" xr3:uid="{BF7003D8-222B-46B4-9FD7-9FC8C4FDF4C5}" name="Roll No"/>
    <tableColumn id="2" xr3:uid="{4C6B1261-0D30-4DB9-88C0-FFAF73AC1C45}" name="Student Name"/>
    <tableColumn id="3" xr3:uid="{8288A35D-99DC-495F-961E-DCD2D6AFF61A}" name="Marathi "/>
    <tableColumn id="4" xr3:uid="{910C0BEB-6B04-4C45-97EF-87722A63B72A}" name="English"/>
    <tableColumn id="5" xr3:uid="{F8FF8FBE-E3AD-4431-9D5A-75EF288B32B4}" name="Total">
      <calculatedColumnFormula>E5+F5</calculatedColumnFormula>
    </tableColumn>
    <tableColumn id="6" xr3:uid="{5B351442-F9BE-4B81-BE07-9B5BE17A7EEE}" name="Remark">
      <calculatedColumnFormula>IF(G5&gt;150,"Good","Bad")</calculatedColumnFormula>
    </tableColumn>
    <tableColumn id="7" xr3:uid="{7FF5E234-4A37-42DE-821F-40C5AD6D5A45}" name="IFS" dataDxfId="4">
      <calculatedColumnFormula>_xlfn.IFS(G5&lt;50,"Bad Marks",G5&gt;150,"Good Marks",G5&gt;50,"Average Marks")</calculatedColumnFormula>
    </tableColumn>
    <tableColumn id="8" xr3:uid="{1C69614B-C267-4EBA-A92A-C7E1A316BCE1}" name="AND" dataDxfId="3">
      <calculatedColumnFormula>AND(E5&lt;100,F5&lt;100)</calculatedColumnFormula>
    </tableColumn>
    <tableColumn id="9" xr3:uid="{2A9E2084-1F0B-45D1-9F44-78B0E7470472}" name="OR" dataDxfId="2">
      <calculatedColumnFormula>OR(Table1[[#This Row],[Total]]&lt;200,Table1[[#This Row],[Student Name]]="ram ji")</calculatedColumnFormula>
    </tableColumn>
    <tableColumn id="10" xr3:uid="{217CA666-04D2-44C3-A62A-CC62BE7743DF}" name="NOT" dataDxfId="0">
      <calculatedColumnFormula>NOT(AND(Table1[[#This Row],[Marathi ]]&lt;100,Table1[[#This Row],[English]]&lt;100))</calculatedColumnFormula>
    </tableColumn>
    <tableColumn id="11" xr3:uid="{A5AEA6DF-FC3E-4F6B-A5D5-B4C7AFBCCACC}" name="IF ERROR" dataDxfId="1">
      <calculatedColumnFormula>IFERROR(_xlfn.IFS(Table1[[#This Row],[Total]]&lt;70,"Good Marks",Table1[[#This Row],[Total]]&gt;180,"Average Marks"),"Something Is Wrong")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ED62-E3A9-421A-832E-D69C2E15660F}">
  <dimension ref="C4:M10"/>
  <sheetViews>
    <sheetView tabSelected="1" topLeftCell="C3" zoomScale="123" workbookViewId="0">
      <selection activeCell="L14" sqref="L14"/>
    </sheetView>
  </sheetViews>
  <sheetFormatPr defaultRowHeight="14.4" x14ac:dyDescent="0.3"/>
  <cols>
    <col min="4" max="4" width="17.77734375" customWidth="1"/>
    <col min="5" max="5" width="9.77734375" customWidth="1"/>
    <col min="8" max="8" width="19.5546875" customWidth="1"/>
    <col min="9" max="9" width="17.21875" customWidth="1"/>
    <col min="13" max="13" width="20.109375" customWidth="1"/>
  </cols>
  <sheetData>
    <row r="4" spans="3:13" x14ac:dyDescent="0.3">
      <c r="C4" t="s">
        <v>0</v>
      </c>
      <c r="D4" t="s">
        <v>1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</row>
    <row r="5" spans="3:13" x14ac:dyDescent="0.3">
      <c r="C5">
        <v>1</v>
      </c>
      <c r="D5" t="s">
        <v>2</v>
      </c>
      <c r="E5">
        <v>89</v>
      </c>
      <c r="F5">
        <v>105</v>
      </c>
      <c r="G5">
        <f>E5+F5</f>
        <v>194</v>
      </c>
      <c r="H5" t="str">
        <f>IF(G5&gt;150,"Good","Bad")</f>
        <v>Good</v>
      </c>
      <c r="I5" t="str">
        <f>_xlfn.IFS(G5&lt;50,"Bad Marks",G5&gt;150,"Good Marks",G5&gt;50,"Average Marks")</f>
        <v>Good Marks</v>
      </c>
      <c r="J5" t="b">
        <f>AND(E5&lt;100,F5&lt;100)</f>
        <v>0</v>
      </c>
      <c r="K5" t="b">
        <f>OR(Table1[[#This Row],[Total]]&lt;200,Table1[[#This Row],[Student Name]]="ram ji")</f>
        <v>1</v>
      </c>
      <c r="L5" t="b">
        <f>NOT(AND(Table1[[#This Row],[Marathi ]]&lt;100,Table1[[#This Row],[English]]&lt;100))</f>
        <v>1</v>
      </c>
      <c r="M5" t="str">
        <f>IFERROR(_xlfn.IFS(Table1[[#This Row],[Total]]&lt;70,"Good Marks",Table1[[#This Row],[Total]]&gt;180,"Average Marks"),"Something Is Wrong")</f>
        <v>Average Marks</v>
      </c>
    </row>
    <row r="6" spans="3:13" x14ac:dyDescent="0.3">
      <c r="C6">
        <v>2</v>
      </c>
      <c r="D6" t="s">
        <v>3</v>
      </c>
      <c r="E6">
        <v>90</v>
      </c>
      <c r="F6">
        <v>99</v>
      </c>
      <c r="G6">
        <f>E6+F6</f>
        <v>189</v>
      </c>
      <c r="H6" t="str">
        <f t="shared" ref="H6:H10" si="0">IF(G6&gt;150,"Good","Bad")</f>
        <v>Good</v>
      </c>
      <c r="I6" t="str">
        <f t="shared" ref="I6:I10" si="1">_xlfn.IFS(G6&lt;50,"Bad Marks",G6&gt;150,"Good Marks",G6&gt;50,"Average Marks")</f>
        <v>Good Marks</v>
      </c>
      <c r="J6" t="b">
        <f t="shared" ref="J6:J10" si="2">AND(E6&lt;100,F6&lt;100)</f>
        <v>1</v>
      </c>
      <c r="K6" t="b">
        <f>OR(Table1[[#This Row],[Total]]&lt;200,Table1[[#This Row],[Student Name]]="ram ji")</f>
        <v>1</v>
      </c>
      <c r="L6" t="b">
        <f>NOT(AND(Table1[[#This Row],[Marathi ]]&lt;100,Table1[[#This Row],[English]]&lt;100))</f>
        <v>0</v>
      </c>
      <c r="M6" t="str">
        <f>IFERROR(_xlfn.IFS(Table1[[#This Row],[Total]]&lt;70,"Good Marks",Table1[[#This Row],[Total]]&gt;180,"Average Marks"),"Something Is Wrong")</f>
        <v>Average Marks</v>
      </c>
    </row>
    <row r="7" spans="3:13" x14ac:dyDescent="0.3">
      <c r="C7">
        <v>3</v>
      </c>
      <c r="D7" t="s">
        <v>4</v>
      </c>
      <c r="E7">
        <v>99</v>
      </c>
      <c r="F7">
        <v>195</v>
      </c>
      <c r="G7">
        <f t="shared" ref="G7:G10" si="3">E7+F7</f>
        <v>294</v>
      </c>
      <c r="H7" t="str">
        <f t="shared" si="0"/>
        <v>Good</v>
      </c>
      <c r="I7" t="str">
        <f t="shared" si="1"/>
        <v>Good Marks</v>
      </c>
      <c r="J7" t="b">
        <f t="shared" si="2"/>
        <v>0</v>
      </c>
      <c r="K7" t="b">
        <f>OR(Table1[[#This Row],[Total]]&lt;200,Table1[[#This Row],[Student Name]]="ram ji")</f>
        <v>0</v>
      </c>
      <c r="L7" t="b">
        <f>NOT(AND(Table1[[#This Row],[Marathi ]]&lt;100,Table1[[#This Row],[English]]&lt;100))</f>
        <v>1</v>
      </c>
      <c r="M7" t="str">
        <f>IFERROR(_xlfn.IFS(Table1[[#This Row],[Total]]&lt;70,"Good Marks",Table1[[#This Row],[Total]]&gt;180,"Average Marks"),"Something Is Wrong")</f>
        <v>Average Marks</v>
      </c>
    </row>
    <row r="8" spans="3:13" x14ac:dyDescent="0.3">
      <c r="C8">
        <v>4</v>
      </c>
      <c r="D8" t="s">
        <v>5</v>
      </c>
      <c r="E8">
        <v>36</v>
      </c>
      <c r="F8">
        <v>45</v>
      </c>
      <c r="G8">
        <f t="shared" si="3"/>
        <v>81</v>
      </c>
      <c r="H8" t="str">
        <f t="shared" si="0"/>
        <v>Bad</v>
      </c>
      <c r="I8" t="str">
        <f t="shared" si="1"/>
        <v>Average Marks</v>
      </c>
      <c r="J8" t="b">
        <f t="shared" si="2"/>
        <v>1</v>
      </c>
      <c r="K8" t="b">
        <f>OR(Table1[[#This Row],[Total]]&lt;200,Table1[[#This Row],[Student Name]]="ram ji")</f>
        <v>1</v>
      </c>
      <c r="L8" t="b">
        <f>NOT(AND(Table1[[#This Row],[Marathi ]]&lt;100,Table1[[#This Row],[English]]&lt;100))</f>
        <v>0</v>
      </c>
      <c r="M8" t="str">
        <f>IFERROR(_xlfn.IFS(Table1[[#This Row],[Total]]&lt;70,"Good Marks",Table1[[#This Row],[Total]]&gt;180,"Average Marks"),"Something Is Wrong")</f>
        <v>Something Is Wrong</v>
      </c>
    </row>
    <row r="9" spans="3:13" x14ac:dyDescent="0.3">
      <c r="C9">
        <v>5</v>
      </c>
      <c r="D9" t="s">
        <v>6</v>
      </c>
      <c r="E9">
        <v>12</v>
      </c>
      <c r="F9">
        <v>32</v>
      </c>
      <c r="G9">
        <f t="shared" si="3"/>
        <v>44</v>
      </c>
      <c r="H9" t="str">
        <f t="shared" si="0"/>
        <v>Bad</v>
      </c>
      <c r="I9" t="str">
        <f>_xlfn.IFS(G9&lt;50,"Bad Marks",G9&gt;150,"Good Marks",G9&gt;50,"Average Marks")</f>
        <v>Bad Marks</v>
      </c>
      <c r="J9" t="b">
        <f t="shared" si="2"/>
        <v>1</v>
      </c>
      <c r="K9" t="b">
        <f>OR(Table1[[#This Row],[Total]]&lt;200,Table1[[#This Row],[Student Name]]="ram ji")</f>
        <v>1</v>
      </c>
      <c r="L9" t="b">
        <f>NOT(AND(Table1[[#This Row],[Marathi ]]&lt;100,Table1[[#This Row],[English]]&lt;100))</f>
        <v>0</v>
      </c>
      <c r="M9" t="str">
        <f>IFERROR(_xlfn.IFS(Table1[[#This Row],[Total]]&lt;70,"Good Marks",Table1[[#This Row],[Total]]&gt;180,"Average Marks"),"Something Is Wrong")</f>
        <v>Good Marks</v>
      </c>
    </row>
    <row r="10" spans="3:13" x14ac:dyDescent="0.3">
      <c r="C10">
        <v>6</v>
      </c>
      <c r="D10" t="s">
        <v>7</v>
      </c>
      <c r="E10">
        <v>23</v>
      </c>
      <c r="F10">
        <v>34</v>
      </c>
      <c r="G10">
        <f t="shared" si="3"/>
        <v>57</v>
      </c>
      <c r="H10" t="str">
        <f t="shared" si="0"/>
        <v>Bad</v>
      </c>
      <c r="I10" t="str">
        <f t="shared" si="1"/>
        <v>Average Marks</v>
      </c>
      <c r="J10" t="b">
        <f t="shared" si="2"/>
        <v>1</v>
      </c>
      <c r="K10" t="b">
        <f>OR(Table1[[#This Row],[Total]]&lt;200,Table1[[#This Row],[Student Name]]="ram ji")</f>
        <v>1</v>
      </c>
      <c r="L10" t="b">
        <f>NOT(AND(Table1[[#This Row],[Marathi ]]&lt;100,Table1[[#This Row],[English]]&lt;100))</f>
        <v>0</v>
      </c>
      <c r="M10" t="str">
        <f>IFERROR(_xlfn.IFS(Table1[[#This Row],[Total]]&lt;70,"Good Marks",Table1[[#This Row],[Total]]&gt;180,"Average Marks"),"Something Is Wrong")</f>
        <v>Good Marks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Bhagude</dc:creator>
  <cp:lastModifiedBy>Omkar Bhagude</cp:lastModifiedBy>
  <dcterms:created xsi:type="dcterms:W3CDTF">2026-07-03T05:58:14Z</dcterms:created>
  <dcterms:modified xsi:type="dcterms:W3CDTF">2026-07-08T06:50:59Z</dcterms:modified>
</cp:coreProperties>
</file>