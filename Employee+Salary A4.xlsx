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0417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hp\Desktop\Excel\"/>
    </mc:Choice>
  </mc:AlternateContent>
  <xr:revisionPtr revIDLastSave="0" documentId="8_{BF663C0D-9397-4B08-8E27-8C6E7679B53D}" xr6:coauthVersionLast="36" xr6:coauthVersionMax="36" xr10:uidLastSave="{00000000-0000-0000-0000-000000000000}"/>
  <bookViews>
    <workbookView xWindow="0" yWindow="0" windowWidth="23040" windowHeight="9060" activeTab="3" xr2:uid="{00000000-000D-0000-FFFF-FFFF00000000}"/>
  </bookViews>
  <sheets>
    <sheet name="Basic Pay" sheetId="1" r:id="rId1"/>
    <sheet name="HRA" sheetId="2" r:id="rId2"/>
    <sheet name="DA" sheetId="3" r:id="rId3"/>
    <sheet name="Gross Salary" sheetId="5" r:id="rId4"/>
  </sheets>
  <calcPr calcId="191029"/>
</workbook>
</file>

<file path=xl/calcChain.xml><?xml version="1.0" encoding="utf-8"?>
<calcChain xmlns="http://schemas.openxmlformats.org/spreadsheetml/2006/main">
  <c r="D5" i="5" l="1"/>
  <c r="D6" i="5"/>
  <c r="D7" i="5"/>
  <c r="D8" i="5"/>
  <c r="D9" i="5"/>
  <c r="D10" i="5"/>
  <c r="D11" i="5"/>
  <c r="D12" i="5"/>
  <c r="D13" i="5"/>
  <c r="D4" i="5"/>
  <c r="D6" i="2"/>
  <c r="D7" i="2"/>
  <c r="D8" i="2"/>
  <c r="D9" i="2"/>
  <c r="D10" i="2"/>
  <c r="D11" i="2"/>
  <c r="D12" i="2"/>
  <c r="D13" i="2"/>
  <c r="D14" i="2"/>
  <c r="D5" i="2"/>
  <c r="D6" i="3"/>
  <c r="D7" i="3"/>
  <c r="D8" i="3"/>
  <c r="D9" i="3"/>
  <c r="D10" i="3"/>
  <c r="D11" i="3"/>
  <c r="D12" i="3"/>
  <c r="D13" i="3"/>
  <c r="D14" i="3"/>
  <c r="D5" i="3"/>
</calcChain>
</file>

<file path=xl/sharedStrings.xml><?xml version="1.0" encoding="utf-8"?>
<sst xmlns="http://schemas.openxmlformats.org/spreadsheetml/2006/main" count="56" uniqueCount="22">
  <si>
    <t>Basic Pay of the Employees</t>
  </si>
  <si>
    <t>Emp_Name</t>
  </si>
  <si>
    <t>Emp_ID</t>
  </si>
  <si>
    <t>Sandy</t>
  </si>
  <si>
    <t>Sam</t>
  </si>
  <si>
    <t>Peter</t>
  </si>
  <si>
    <t>Bobby</t>
  </si>
  <si>
    <t>John</t>
  </si>
  <si>
    <t>Rita</t>
  </si>
  <si>
    <t>Rozy</t>
  </si>
  <si>
    <t>Rozita</t>
  </si>
  <si>
    <t>Andre</t>
  </si>
  <si>
    <t>Rocher</t>
  </si>
  <si>
    <t>HRA of the Employees</t>
  </si>
  <si>
    <t>Emp_HRA</t>
  </si>
  <si>
    <t>Emp_Basic_Pay</t>
  </si>
  <si>
    <t>DA of the Employees</t>
  </si>
  <si>
    <t>Emp_DA</t>
  </si>
  <si>
    <t>Emp ID</t>
  </si>
  <si>
    <t xml:space="preserve">Emp Name </t>
  </si>
  <si>
    <t>Gross Salary</t>
  </si>
  <si>
    <t>x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</si>
</sst>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"/>
  </numFmts>
  <fonts count="4" x14ac:knownFonts="1">
    <font>
      <sz val="10"/>
      <name val="Arial"/>
    </font>
    <font>
      <b/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0"/>
      <name val="Arial"/>
      <family val="2"/>
    </font>
  </fonts>
  <fills count="8">
    <fill>
      <patternFill patternType="none"/>
    </fill>
    <fill>
      <patternFill patternType="gray125"/>
    </fill>
    <fill>
      <patternFill patternType="solid">
        <fgColor indexed="9"/>
        <bgColor indexed="64"/>
      </patternFill>
    </fill>
    <fill>
      <patternFill patternType="solid">
        <fgColor indexed="51"/>
        <bgColor indexed="64"/>
      </patternFill>
    </fill>
    <fill>
      <patternFill patternType="solid">
        <fgColor indexed="53"/>
        <bgColor indexed="64"/>
      </patternFill>
    </fill>
    <fill>
      <patternFill patternType="solid">
        <fgColor indexed="52"/>
        <bgColor indexed="64"/>
      </patternFill>
    </fill>
    <fill>
      <patternFill patternType="solid">
        <fgColor rgb="FFF2F2F2"/>
      </patternFill>
    </fill>
    <fill>
      <patternFill patternType="solid">
        <fgColor rgb="FFA5A5A5"/>
      </patternFill>
    </fill>
  </fills>
  <borders count="6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7F7F7F"/>
      </left>
      <right style="thin">
        <color rgb="FF7F7F7F"/>
      </right>
      <top/>
      <bottom style="thin">
        <color rgb="FF7F7F7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/>
      <diagonal/>
    </border>
  </borders>
  <cellStyleXfs count="3">
    <xf numFmtId="0" fontId="0" fillId="0" borderId="0"/>
    <xf numFmtId="0" fontId="1" fillId="6" borderId="2" applyNumberFormat="0" applyAlignment="0" applyProtection="0"/>
    <xf numFmtId="0" fontId="2" fillId="7" borderId="3" applyNumberFormat="0" applyAlignment="0" applyProtection="0"/>
  </cellStyleXfs>
  <cellXfs count="14">
    <xf numFmtId="0" fontId="0" fillId="0" borderId="0" xfId="0"/>
    <xf numFmtId="0" fontId="0" fillId="0" borderId="1" xfId="0" applyFill="1" applyBorder="1" applyAlignment="1">
      <alignment horizontal="center"/>
    </xf>
    <xf numFmtId="0" fontId="0" fillId="2" borderId="1" xfId="0" applyFill="1" applyBorder="1" applyAlignment="1">
      <alignment horizontal="center"/>
    </xf>
    <xf numFmtId="0" fontId="0" fillId="3" borderId="1" xfId="0" applyFill="1" applyBorder="1" applyAlignment="1">
      <alignment horizontal="center"/>
    </xf>
    <xf numFmtId="0" fontId="0" fillId="4" borderId="1" xfId="0" applyFill="1" applyBorder="1" applyAlignment="1">
      <alignment horizontal="center"/>
    </xf>
    <xf numFmtId="0" fontId="0" fillId="5" borderId="1" xfId="0" applyFill="1" applyBorder="1" applyAlignment="1">
      <alignment horizontal="center"/>
    </xf>
    <xf numFmtId="164" fontId="0" fillId="0" borderId="1" xfId="0" applyNumberFormat="1" applyFill="1" applyBorder="1" applyAlignment="1">
      <alignment horizontal="center"/>
    </xf>
    <xf numFmtId="1" fontId="0" fillId="0" borderId="1" xfId="0" applyNumberFormat="1" applyFill="1" applyBorder="1" applyAlignment="1">
      <alignment horizontal="center"/>
    </xf>
    <xf numFmtId="0" fontId="2" fillId="7" borderId="3" xfId="2" applyAlignment="1">
      <alignment horizontal="center"/>
    </xf>
    <xf numFmtId="1" fontId="2" fillId="7" borderId="3" xfId="2" applyNumberFormat="1" applyAlignment="1">
      <alignment horizontal="center"/>
    </xf>
    <xf numFmtId="0" fontId="1" fillId="6" borderId="4" xfId="1" applyFont="1" applyBorder="1" applyAlignment="1">
      <alignment horizontal="center"/>
    </xf>
    <xf numFmtId="0" fontId="2" fillId="7" borderId="5" xfId="2" applyBorder="1" applyAlignment="1">
      <alignment horizontal="center"/>
    </xf>
    <xf numFmtId="1" fontId="2" fillId="7" borderId="5" xfId="2" applyNumberFormat="1" applyBorder="1" applyAlignment="1">
      <alignment horizontal="center"/>
    </xf>
    <xf numFmtId="0" fontId="3" fillId="0" borderId="0" xfId="0" applyFont="1"/>
  </cellXfs>
  <cellStyles count="3">
    <cellStyle name="Calculation" xfId="1" builtinId="22"/>
    <cellStyle name="Check Cell" xfId="2" builtinId="23"/>
    <cellStyle name="Normal" xfId="0" builtinId="0"/>
  </cellStyles>
  <dxfs count="7"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rgb="FFFA7D00"/>
        <name val="Calibri"/>
        <family val="2"/>
        <scheme val="minor"/>
      </font>
      <alignment horizontal="center" vertical="bottom" textRotation="0" wrapText="0" indent="0" justifyLastLine="0" shrinkToFit="0" readingOrder="0"/>
      <border diagonalUp="0" diagonalDown="0" outline="0">
        <left style="thin">
          <color rgb="FF7F7F7F"/>
        </left>
        <right style="thin">
          <color rgb="FF7F7F7F"/>
        </right>
        <top/>
        <bottom/>
      </border>
    </dxf>
    <dxf>
      <numFmt numFmtId="1" formatCode="0"/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border outline="0">
        <top style="double">
          <color rgb="FF3F3F3F"/>
        </top>
      </border>
    </dxf>
    <dxf>
      <border outline="0">
        <bottom style="thin">
          <color rgb="FF7F7F7F"/>
        </bottom>
      </border>
    </dxf>
    <dxf>
      <border outline="0">
        <top style="thin">
          <color rgb="FF7F7F7F"/>
        </top>
        <bottom style="double">
          <color rgb="FF3F3F3F"/>
        </bottom>
      </border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916E9846-A485-4885-8C43-413C31E9DDBA}" name="Table1" displayName="Table1" ref="B3:D13" totalsRowShown="0" headerRowDxfId="0" headerRowBorderDxfId="5" tableBorderDxfId="6" totalsRowBorderDxfId="4" headerRowCellStyle="Calculation">
  <autoFilter ref="B3:D13" xr:uid="{260BD375-E46A-4835-980E-D3AEF09C1F3C}"/>
  <tableColumns count="3">
    <tableColumn id="1" xr3:uid="{683B1B97-F054-4677-9548-D2CD315A2D6B}" name="Emp ID" dataDxfId="3" dataCellStyle="Check Cell"/>
    <tableColumn id="2" xr3:uid="{76CE9B69-41EE-4C46-8395-44E05A2D3540}" name="Emp Name " dataDxfId="2" dataCellStyle="Check Cell"/>
    <tableColumn id="3" xr3:uid="{09E28F38-89E0-456F-93CD-974DEFC77787}" name="Gross Salary" dataDxfId="1" dataCellStyle="Check Cell">
      <calculatedColumnFormula>'Basic Pay'!D5+HRA!D5+DA!D5</calculatedColumnFormula>
    </tableColumn>
  </tableColumns>
  <tableStyleInfo name="TableStyleLight1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3:D14"/>
  <sheetViews>
    <sheetView workbookViewId="0">
      <selection activeCell="C5" sqref="C5:C14"/>
    </sheetView>
  </sheetViews>
  <sheetFormatPr defaultRowHeight="13.2" x14ac:dyDescent="0.25"/>
  <cols>
    <col min="2" max="2" width="15.33203125" customWidth="1"/>
    <col min="3" max="3" width="22" customWidth="1"/>
    <col min="4" max="4" width="25.44140625" customWidth="1"/>
  </cols>
  <sheetData>
    <row r="3" spans="2:4" x14ac:dyDescent="0.25">
      <c r="B3" s="3" t="s">
        <v>0</v>
      </c>
      <c r="C3" s="3"/>
      <c r="D3" s="3"/>
    </row>
    <row r="4" spans="2:4" x14ac:dyDescent="0.25">
      <c r="B4" s="2" t="s">
        <v>2</v>
      </c>
      <c r="C4" s="2" t="s">
        <v>1</v>
      </c>
      <c r="D4" s="2" t="s">
        <v>15</v>
      </c>
    </row>
    <row r="5" spans="2:4" x14ac:dyDescent="0.25">
      <c r="B5" s="2">
        <v>5001</v>
      </c>
      <c r="C5" s="2" t="s">
        <v>3</v>
      </c>
      <c r="D5" s="2">
        <v>4500</v>
      </c>
    </row>
    <row r="6" spans="2:4" x14ac:dyDescent="0.25">
      <c r="B6" s="2">
        <v>5003</v>
      </c>
      <c r="C6" s="2" t="s">
        <v>4</v>
      </c>
      <c r="D6" s="2">
        <v>2500</v>
      </c>
    </row>
    <row r="7" spans="2:4" x14ac:dyDescent="0.25">
      <c r="B7" s="2">
        <v>5098</v>
      </c>
      <c r="C7" s="2" t="s">
        <v>5</v>
      </c>
      <c r="D7" s="2">
        <v>4500</v>
      </c>
    </row>
    <row r="8" spans="2:4" x14ac:dyDescent="0.25">
      <c r="B8" s="2">
        <v>5689</v>
      </c>
      <c r="C8" s="2" t="s">
        <v>6</v>
      </c>
      <c r="D8" s="2">
        <v>3200</v>
      </c>
    </row>
    <row r="9" spans="2:4" x14ac:dyDescent="0.25">
      <c r="B9" s="2">
        <v>5764</v>
      </c>
      <c r="C9" s="2" t="s">
        <v>7</v>
      </c>
      <c r="D9" s="2">
        <v>1223</v>
      </c>
    </row>
    <row r="10" spans="2:4" x14ac:dyDescent="0.25">
      <c r="B10" s="2">
        <v>5091</v>
      </c>
      <c r="C10" s="2" t="s">
        <v>8</v>
      </c>
      <c r="D10" s="2">
        <v>7890</v>
      </c>
    </row>
    <row r="11" spans="2:4" x14ac:dyDescent="0.25">
      <c r="B11" s="2">
        <v>5673</v>
      </c>
      <c r="C11" s="2" t="s">
        <v>9</v>
      </c>
      <c r="D11" s="2">
        <v>6500</v>
      </c>
    </row>
    <row r="12" spans="2:4" x14ac:dyDescent="0.25">
      <c r="B12" s="2">
        <v>5901</v>
      </c>
      <c r="C12" s="2" t="s">
        <v>10</v>
      </c>
      <c r="D12" s="2">
        <v>5479</v>
      </c>
    </row>
    <row r="13" spans="2:4" x14ac:dyDescent="0.25">
      <c r="B13" s="2">
        <v>5764</v>
      </c>
      <c r="C13" s="2" t="s">
        <v>11</v>
      </c>
      <c r="D13" s="2">
        <v>3456</v>
      </c>
    </row>
    <row r="14" spans="2:4" x14ac:dyDescent="0.25">
      <c r="B14" s="2">
        <v>5555</v>
      </c>
      <c r="C14" s="2" t="s">
        <v>12</v>
      </c>
      <c r="D14" s="2">
        <v>1200</v>
      </c>
    </row>
  </sheetData>
  <mergeCells count="1">
    <mergeCell ref="B3:D3"/>
  </mergeCells>
  <phoneticPr fontId="0" type="noConversion"/>
  <pageMargins left="0.75" right="0.75" top="1" bottom="1" header="0.5" footer="0.5"/>
  <headerFooter alignWithMargins="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B3:D14"/>
  <sheetViews>
    <sheetView topLeftCell="B1" workbookViewId="0">
      <selection activeCell="D5" sqref="D5:D14"/>
    </sheetView>
  </sheetViews>
  <sheetFormatPr defaultRowHeight="13.2" x14ac:dyDescent="0.25"/>
  <cols>
    <col min="2" max="2" width="15.33203125" customWidth="1"/>
    <col min="3" max="3" width="22" customWidth="1"/>
    <col min="4" max="4" width="25.44140625" customWidth="1"/>
  </cols>
  <sheetData>
    <row r="3" spans="2:4" x14ac:dyDescent="0.25">
      <c r="B3" s="4" t="s">
        <v>13</v>
      </c>
      <c r="C3" s="4"/>
      <c r="D3" s="4"/>
    </row>
    <row r="4" spans="2:4" x14ac:dyDescent="0.25">
      <c r="B4" s="1" t="s">
        <v>2</v>
      </c>
      <c r="C4" s="1" t="s">
        <v>1</v>
      </c>
      <c r="D4" s="1" t="s">
        <v>14</v>
      </c>
    </row>
    <row r="5" spans="2:4" x14ac:dyDescent="0.25">
      <c r="B5" s="1">
        <v>5001</v>
      </c>
      <c r="C5" s="1" t="s">
        <v>3</v>
      </c>
      <c r="D5" s="7">
        <f>('Basic Pay'!D5+DA!D5)*50%</f>
        <v>2520</v>
      </c>
    </row>
    <row r="6" spans="2:4" x14ac:dyDescent="0.25">
      <c r="B6" s="1">
        <v>5003</v>
      </c>
      <c r="C6" s="1" t="s">
        <v>4</v>
      </c>
      <c r="D6" s="7">
        <f>('Basic Pay'!D6+DA!D6)*50%</f>
        <v>1400</v>
      </c>
    </row>
    <row r="7" spans="2:4" x14ac:dyDescent="0.25">
      <c r="B7" s="1">
        <v>5098</v>
      </c>
      <c r="C7" s="1" t="s">
        <v>5</v>
      </c>
      <c r="D7" s="7">
        <f>('Basic Pay'!D7+DA!D7)*50%</f>
        <v>2520</v>
      </c>
    </row>
    <row r="8" spans="2:4" x14ac:dyDescent="0.25">
      <c r="B8" s="1">
        <v>5689</v>
      </c>
      <c r="C8" s="1" t="s">
        <v>6</v>
      </c>
      <c r="D8" s="7">
        <f>('Basic Pay'!D8+DA!D8)*50%</f>
        <v>1792</v>
      </c>
    </row>
    <row r="9" spans="2:4" x14ac:dyDescent="0.25">
      <c r="B9" s="1">
        <v>5764</v>
      </c>
      <c r="C9" s="1" t="s">
        <v>7</v>
      </c>
      <c r="D9" s="7">
        <f>('Basic Pay'!D9+DA!D9)*50%</f>
        <v>684.88</v>
      </c>
    </row>
    <row r="10" spans="2:4" x14ac:dyDescent="0.25">
      <c r="B10" s="1">
        <v>5091</v>
      </c>
      <c r="C10" s="1" t="s">
        <v>8</v>
      </c>
      <c r="D10" s="7">
        <f>('Basic Pay'!D10+DA!D10)*50%</f>
        <v>4418.3999999999996</v>
      </c>
    </row>
    <row r="11" spans="2:4" x14ac:dyDescent="0.25">
      <c r="B11" s="1">
        <v>5673</v>
      </c>
      <c r="C11" s="1" t="s">
        <v>9</v>
      </c>
      <c r="D11" s="7">
        <f>('Basic Pay'!D11+DA!D11)*50%</f>
        <v>3640</v>
      </c>
    </row>
    <row r="12" spans="2:4" x14ac:dyDescent="0.25">
      <c r="B12" s="1">
        <v>5901</v>
      </c>
      <c r="C12" s="1" t="s">
        <v>10</v>
      </c>
      <c r="D12" s="7">
        <f>('Basic Pay'!D12+DA!D12)*50%</f>
        <v>3068.24</v>
      </c>
    </row>
    <row r="13" spans="2:4" x14ac:dyDescent="0.25">
      <c r="B13" s="1">
        <v>5764</v>
      </c>
      <c r="C13" s="1" t="s">
        <v>11</v>
      </c>
      <c r="D13" s="7">
        <f>('Basic Pay'!D13+DA!D13)*50%</f>
        <v>1935.36</v>
      </c>
    </row>
    <row r="14" spans="2:4" x14ac:dyDescent="0.25">
      <c r="B14" s="1">
        <v>5555</v>
      </c>
      <c r="C14" s="1" t="s">
        <v>12</v>
      </c>
      <c r="D14" s="7">
        <f>('Basic Pay'!D14+DA!D14)*50%</f>
        <v>672</v>
      </c>
    </row>
  </sheetData>
  <mergeCells count="1">
    <mergeCell ref="B3:D3"/>
  </mergeCells>
  <phoneticPr fontId="0" type="noConversion"/>
  <pageMargins left="0.75" right="0.75" top="1" bottom="1" header="0.5" footer="0.5"/>
  <headerFooter alignWithMargins="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B3:D14"/>
  <sheetViews>
    <sheetView topLeftCell="A3" workbookViewId="0">
      <selection activeCell="C12" sqref="C12"/>
    </sheetView>
  </sheetViews>
  <sheetFormatPr defaultRowHeight="13.2" x14ac:dyDescent="0.25"/>
  <cols>
    <col min="2" max="2" width="15.33203125" customWidth="1"/>
    <col min="3" max="3" width="22" customWidth="1"/>
    <col min="4" max="4" width="25.44140625" customWidth="1"/>
  </cols>
  <sheetData>
    <row r="3" spans="2:4" x14ac:dyDescent="0.25">
      <c r="B3" s="5" t="s">
        <v>16</v>
      </c>
      <c r="C3" s="5"/>
      <c r="D3" s="5"/>
    </row>
    <row r="4" spans="2:4" x14ac:dyDescent="0.25">
      <c r="B4" s="1" t="s">
        <v>2</v>
      </c>
      <c r="C4" s="1" t="s">
        <v>1</v>
      </c>
      <c r="D4" s="1" t="s">
        <v>17</v>
      </c>
    </row>
    <row r="5" spans="2:4" x14ac:dyDescent="0.25">
      <c r="B5" s="1">
        <v>5001</v>
      </c>
      <c r="C5" s="1" t="s">
        <v>3</v>
      </c>
      <c r="D5" s="6">
        <f>'Basic Pay'!D5*12%</f>
        <v>540</v>
      </c>
    </row>
    <row r="6" spans="2:4" x14ac:dyDescent="0.25">
      <c r="B6" s="1">
        <v>5003</v>
      </c>
      <c r="C6" s="1" t="s">
        <v>4</v>
      </c>
      <c r="D6" s="6">
        <f>'Basic Pay'!D6*12%</f>
        <v>300</v>
      </c>
    </row>
    <row r="7" spans="2:4" x14ac:dyDescent="0.25">
      <c r="B7" s="1">
        <v>5098</v>
      </c>
      <c r="C7" s="1" t="s">
        <v>5</v>
      </c>
      <c r="D7" s="6">
        <f>'Basic Pay'!D7*12%</f>
        <v>540</v>
      </c>
    </row>
    <row r="8" spans="2:4" x14ac:dyDescent="0.25">
      <c r="B8" s="1">
        <v>5689</v>
      </c>
      <c r="C8" s="1" t="s">
        <v>6</v>
      </c>
      <c r="D8" s="6">
        <f>'Basic Pay'!D8*12%</f>
        <v>384</v>
      </c>
    </row>
    <row r="9" spans="2:4" x14ac:dyDescent="0.25">
      <c r="B9" s="1">
        <v>5764</v>
      </c>
      <c r="C9" s="1" t="s">
        <v>7</v>
      </c>
      <c r="D9" s="6">
        <f>'Basic Pay'!D9*12%</f>
        <v>146.76</v>
      </c>
    </row>
    <row r="10" spans="2:4" x14ac:dyDescent="0.25">
      <c r="B10" s="1">
        <v>5091</v>
      </c>
      <c r="C10" s="1" t="s">
        <v>8</v>
      </c>
      <c r="D10" s="6">
        <f>'Basic Pay'!D10*12%</f>
        <v>946.8</v>
      </c>
    </row>
    <row r="11" spans="2:4" x14ac:dyDescent="0.25">
      <c r="B11" s="1">
        <v>5673</v>
      </c>
      <c r="C11" s="1" t="s">
        <v>9</v>
      </c>
      <c r="D11" s="6">
        <f>'Basic Pay'!D11*12%</f>
        <v>780</v>
      </c>
    </row>
    <row r="12" spans="2:4" x14ac:dyDescent="0.25">
      <c r="B12" s="1">
        <v>5901</v>
      </c>
      <c r="C12" s="1" t="s">
        <v>10</v>
      </c>
      <c r="D12" s="6">
        <f>'Basic Pay'!D12*12%</f>
        <v>657.48</v>
      </c>
    </row>
    <row r="13" spans="2:4" x14ac:dyDescent="0.25">
      <c r="B13" s="1">
        <v>5764</v>
      </c>
      <c r="C13" s="1" t="s">
        <v>11</v>
      </c>
      <c r="D13" s="6">
        <f>'Basic Pay'!D13*12%</f>
        <v>414.71999999999997</v>
      </c>
    </row>
    <row r="14" spans="2:4" x14ac:dyDescent="0.25">
      <c r="B14" s="1">
        <v>5555</v>
      </c>
      <c r="C14" s="1" t="s">
        <v>12</v>
      </c>
      <c r="D14" s="6">
        <f>'Basic Pay'!D14*12%</f>
        <v>144</v>
      </c>
    </row>
  </sheetData>
  <mergeCells count="1">
    <mergeCell ref="B3:D3"/>
  </mergeCells>
  <phoneticPr fontId="0" type="noConversion"/>
  <pageMargins left="0.75" right="0.75" top="1" bottom="1" header="0.5" footer="0.5"/>
  <headerFooter alignWithMargins="0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B328BB4-324A-4D62-9269-4BEDC7DA65C2}">
  <dimension ref="B3:M13"/>
  <sheetViews>
    <sheetView tabSelected="1" workbookViewId="0">
      <selection activeCell="M6" sqref="M6"/>
    </sheetView>
  </sheetViews>
  <sheetFormatPr defaultRowHeight="13.2" x14ac:dyDescent="0.25"/>
  <cols>
    <col min="2" max="2" width="11.44140625" bestFit="1" customWidth="1"/>
    <col min="3" max="3" width="15.109375" bestFit="1" customWidth="1"/>
    <col min="4" max="4" width="15.5546875" bestFit="1" customWidth="1"/>
  </cols>
  <sheetData>
    <row r="3" spans="2:13" ht="15" thickBot="1" x14ac:dyDescent="0.35">
      <c r="B3" s="10" t="s">
        <v>18</v>
      </c>
      <c r="C3" s="10" t="s">
        <v>19</v>
      </c>
      <c r="D3" s="10" t="s">
        <v>20</v>
      </c>
    </row>
    <row r="4" spans="2:13" ht="15.6" thickTop="1" thickBot="1" x14ac:dyDescent="0.35">
      <c r="B4" s="8">
        <v>5001</v>
      </c>
      <c r="C4" s="8" t="s">
        <v>3</v>
      </c>
      <c r="D4" s="9">
        <f>'Basic Pay'!D5+HRA!D5+DA!D5</f>
        <v>7560</v>
      </c>
    </row>
    <row r="5" spans="2:13" ht="15.6" thickTop="1" thickBot="1" x14ac:dyDescent="0.35">
      <c r="B5" s="8">
        <v>5003</v>
      </c>
      <c r="C5" s="8" t="s">
        <v>4</v>
      </c>
      <c r="D5" s="9">
        <f>'Basic Pay'!D6+HRA!D6+DA!D6</f>
        <v>4200</v>
      </c>
    </row>
    <row r="6" spans="2:13" ht="15.6" thickTop="1" thickBot="1" x14ac:dyDescent="0.35">
      <c r="B6" s="8">
        <v>5098</v>
      </c>
      <c r="C6" s="8" t="s">
        <v>5</v>
      </c>
      <c r="D6" s="9">
        <f>'Basic Pay'!D7+HRA!D7+DA!D7</f>
        <v>7560</v>
      </c>
      <c r="M6" s="13" t="s">
        <v>21</v>
      </c>
    </row>
    <row r="7" spans="2:13" ht="15.6" thickTop="1" thickBot="1" x14ac:dyDescent="0.35">
      <c r="B7" s="8">
        <v>5689</v>
      </c>
      <c r="C7" s="8" t="s">
        <v>6</v>
      </c>
      <c r="D7" s="9">
        <f>'Basic Pay'!D8+HRA!D8+DA!D8</f>
        <v>5376</v>
      </c>
    </row>
    <row r="8" spans="2:13" ht="15.6" thickTop="1" thickBot="1" x14ac:dyDescent="0.35">
      <c r="B8" s="8">
        <v>5764</v>
      </c>
      <c r="C8" s="8" t="s">
        <v>7</v>
      </c>
      <c r="D8" s="9">
        <f>'Basic Pay'!D9+HRA!D9+DA!D9</f>
        <v>2054.6400000000003</v>
      </c>
    </row>
    <row r="9" spans="2:13" ht="15.6" thickTop="1" thickBot="1" x14ac:dyDescent="0.35">
      <c r="B9" s="8">
        <v>5091</v>
      </c>
      <c r="C9" s="8" t="s">
        <v>8</v>
      </c>
      <c r="D9" s="9">
        <f>'Basic Pay'!D10+HRA!D10+DA!D10</f>
        <v>13255.199999999999</v>
      </c>
    </row>
    <row r="10" spans="2:13" ht="15.6" thickTop="1" thickBot="1" x14ac:dyDescent="0.35">
      <c r="B10" s="8">
        <v>5673</v>
      </c>
      <c r="C10" s="8" t="s">
        <v>9</v>
      </c>
      <c r="D10" s="9">
        <f>'Basic Pay'!D11+HRA!D11+DA!D11</f>
        <v>10920</v>
      </c>
    </row>
    <row r="11" spans="2:13" ht="15.6" thickTop="1" thickBot="1" x14ac:dyDescent="0.35">
      <c r="B11" s="8">
        <v>5901</v>
      </c>
      <c r="C11" s="8" t="s">
        <v>10</v>
      </c>
      <c r="D11" s="9">
        <f>'Basic Pay'!D12+HRA!D12+DA!D12</f>
        <v>9204.7199999999993</v>
      </c>
    </row>
    <row r="12" spans="2:13" ht="15.6" thickTop="1" thickBot="1" x14ac:dyDescent="0.35">
      <c r="B12" s="8">
        <v>5764</v>
      </c>
      <c r="C12" s="8" t="s">
        <v>11</v>
      </c>
      <c r="D12" s="9">
        <f>'Basic Pay'!D13+HRA!D13+DA!D13</f>
        <v>5806.08</v>
      </c>
    </row>
    <row r="13" spans="2:13" ht="15" thickTop="1" x14ac:dyDescent="0.3">
      <c r="B13" s="11">
        <v>5555</v>
      </c>
      <c r="C13" s="11" t="s">
        <v>12</v>
      </c>
      <c r="D13" s="12">
        <f>'Basic Pay'!D14+HRA!D14+DA!D14</f>
        <v>2016</v>
      </c>
    </row>
  </sheetData>
  <pageMargins left="0.7" right="0.7" top="0.75" bottom="0.75" header="0.3" footer="0.3"/>
  <pageSetup orientation="portrait" r:id="rId1"/>
  <tableParts count="1">
    <tablePart r:id="rId2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Basic Pay</vt:lpstr>
      <vt:lpstr>HRA</vt:lpstr>
      <vt:lpstr>DA</vt:lpstr>
      <vt:lpstr>Gross Salary</vt:lpstr>
    </vt:vector>
  </TitlesOfParts>
  <Company>abc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Administrator</dc:creator>
  <cp:lastModifiedBy>Omkar Bhagude</cp:lastModifiedBy>
  <dcterms:created xsi:type="dcterms:W3CDTF">2007-12-11T14:17:32Z</dcterms:created>
  <dcterms:modified xsi:type="dcterms:W3CDTF">2026-07-07T18:35:04Z</dcterms:modified>
</cp:coreProperties>
</file>